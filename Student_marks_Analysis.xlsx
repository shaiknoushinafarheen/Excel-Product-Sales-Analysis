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a9ce76ec19332c/Desktop/xl/"/>
    </mc:Choice>
  </mc:AlternateContent>
  <xr:revisionPtr revIDLastSave="0" documentId="8_{564DF5C4-3C0B-433B-800A-F897FF028608}" xr6:coauthVersionLast="47" xr6:coauthVersionMax="47" xr10:uidLastSave="{00000000-0000-0000-0000-000000000000}"/>
  <bookViews>
    <workbookView xWindow="1044" yWindow="0" windowWidth="23040" windowHeight="12336" xr2:uid="{8F7F0946-4987-4117-A3C2-1CE66928D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F4" i="1"/>
  <c r="E5" i="1"/>
  <c r="F5" i="1"/>
  <c r="E6" i="1"/>
  <c r="F6" i="1"/>
  <c r="E7" i="1"/>
  <c r="F7" i="1"/>
  <c r="G7" i="1" l="1"/>
  <c r="G3" i="1"/>
  <c r="G6" i="1"/>
  <c r="G5" i="1"/>
  <c r="G4" i="1"/>
</calcChain>
</file>

<file path=xl/sharedStrings.xml><?xml version="1.0" encoding="utf-8"?>
<sst xmlns="http://schemas.openxmlformats.org/spreadsheetml/2006/main" count="13" uniqueCount="13">
  <si>
    <t>Student</t>
  </si>
  <si>
    <t>Maths</t>
  </si>
  <si>
    <t>Physics</t>
  </si>
  <si>
    <t>Chemistry</t>
  </si>
  <si>
    <t>Total</t>
  </si>
  <si>
    <t>Average</t>
  </si>
  <si>
    <t>Aisha</t>
  </si>
  <si>
    <t>Rahul</t>
  </si>
  <si>
    <t>John</t>
  </si>
  <si>
    <t>Meena</t>
  </si>
  <si>
    <t>Ahmed</t>
  </si>
  <si>
    <t>Rank</t>
  </si>
  <si>
    <t>Student Performance Analysis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</si>
</sst>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Arial Rounded MT Bold"/>
      <family val="2"/>
    </font>
    <font>
      <sz val="14"/>
      <color theme="1"/>
      <name val="Arial Rounded MT Bold"/>
      <family val="2"/>
    </font>
    <font>
      <sz val="12"/>
      <color theme="1"/>
      <name val="Calibri"/>
      <family val="2"/>
      <scheme val="minor"/>
    </font>
    <font>
      <sz val="12"/>
      <color theme="1"/>
      <name val="Cascadia Code Light"/>
      <family val="3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" fontId="0" fillId="2" borderId="5" xfId="0" applyNumberFormat="1" applyFill="1" applyBorder="1"/>
    <xf numFmtId="1" fontId="0" fillId="2" borderId="6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/>
    <xf numFmtId="0" fontId="5" fillId="0" borderId="10" xfId="0" applyFont="1" applyBorder="1" applyAlignment="1"/>
    <xf numFmtId="0" fontId="6" fillId="0" borderId="0" xfId="0" applyFont="1"/>
    <xf numFmtId="0" fontId="6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Total Marks Comparision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John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Maths</c:v>
                </c:pt>
                <c:pt idx="1">
                  <c:v>Physics</c:v>
                </c:pt>
                <c:pt idx="2">
                  <c:v>Chemistry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92</c:v>
                </c:pt>
                <c:pt idx="1">
                  <c:v>88</c:v>
                </c:pt>
                <c:pt idx="2">
                  <c:v>91</c:v>
                </c:pt>
                <c:pt idx="3">
                  <c:v>271</c:v>
                </c:pt>
                <c:pt idx="4" formatCode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4-4767-803B-63B24915BF86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Aisha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Maths</c:v>
                </c:pt>
                <c:pt idx="1">
                  <c:v>Physics</c:v>
                </c:pt>
                <c:pt idx="2">
                  <c:v>Chemistry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253</c:v>
                </c:pt>
                <c:pt idx="4" formatCode="0">
                  <c:v>84.333333333333329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4-4767-803B-63B24915BF86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Ahmed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Maths</c:v>
                </c:pt>
                <c:pt idx="1">
                  <c:v>Physics</c:v>
                </c:pt>
                <c:pt idx="2">
                  <c:v>Chemistry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79</c:v>
                </c:pt>
                <c:pt idx="3">
                  <c:v>241</c:v>
                </c:pt>
                <c:pt idx="4" formatCode="0">
                  <c:v>80.333333333333329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4-4767-803B-63B24915BF86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Rahul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Maths</c:v>
                </c:pt>
                <c:pt idx="1">
                  <c:v>Physics</c:v>
                </c:pt>
                <c:pt idx="2">
                  <c:v>Chemistry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210</c:v>
                </c:pt>
                <c:pt idx="4" formatCode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4-4767-803B-63B24915BF86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Meena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Maths</c:v>
                </c:pt>
                <c:pt idx="1">
                  <c:v>Physics</c:v>
                </c:pt>
                <c:pt idx="2">
                  <c:v>Chemistry</c:v>
                </c:pt>
                <c:pt idx="3">
                  <c:v>Total</c:v>
                </c:pt>
                <c:pt idx="4">
                  <c:v>Average</c:v>
                </c:pt>
              </c:strCache>
            </c:strRef>
          </c:cat>
          <c:val>
            <c:numRef>
              <c:f>Sheet1!$B$7:$F$7</c:f>
              <c:numCache>
                <c:formatCode>General</c:formatCode>
                <c:ptCount val="5"/>
                <c:pt idx="0">
                  <c:v>55</c:v>
                </c:pt>
                <c:pt idx="1">
                  <c:v>60</c:v>
                </c:pt>
                <c:pt idx="2">
                  <c:v>58</c:v>
                </c:pt>
                <c:pt idx="3">
                  <c:v>173</c:v>
                </c:pt>
                <c:pt idx="4" formatCode="0">
                  <c:v>57.666666666666664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4-4767-803B-63B24915B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242352"/>
        <c:axId val="1332238032"/>
      </c:barChart>
      <c:catAx>
        <c:axId val="13322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38032"/>
        <c:crosses val="autoZero"/>
        <c:auto val="1"/>
        <c:lblAlgn val="ctr"/>
        <c:lblOffset val="100"/>
        <c:noMultiLvlLbl val="0"/>
      </c:catAx>
      <c:valAx>
        <c:axId val="13322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4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Subject-wise</a:t>
            </a:r>
            <a:r>
              <a:rPr lang="en-IN" baseline="0"/>
              <a:t> Student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John</c:v>
                </c:pt>
                <c:pt idx="1">
                  <c:v>Aisha</c:v>
                </c:pt>
                <c:pt idx="2">
                  <c:v>Ahmed</c:v>
                </c:pt>
                <c:pt idx="3">
                  <c:v>Rahul</c:v>
                </c:pt>
                <c:pt idx="4">
                  <c:v>Meena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92</c:v>
                </c:pt>
                <c:pt idx="1">
                  <c:v>78</c:v>
                </c:pt>
                <c:pt idx="2">
                  <c:v>80</c:v>
                </c:pt>
                <c:pt idx="3">
                  <c:v>65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3-44DF-920A-3C0CDD9E784D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John</c:v>
                </c:pt>
                <c:pt idx="1">
                  <c:v>Aisha</c:v>
                </c:pt>
                <c:pt idx="2">
                  <c:v>Ahmed</c:v>
                </c:pt>
                <c:pt idx="3">
                  <c:v>Rahul</c:v>
                </c:pt>
                <c:pt idx="4">
                  <c:v>Meena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88</c:v>
                </c:pt>
                <c:pt idx="1">
                  <c:v>85</c:v>
                </c:pt>
                <c:pt idx="2">
                  <c:v>82</c:v>
                </c:pt>
                <c:pt idx="3">
                  <c:v>70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3-44DF-920A-3C0CDD9E784D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Chemistry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John</c:v>
                </c:pt>
                <c:pt idx="1">
                  <c:v>Aisha</c:v>
                </c:pt>
                <c:pt idx="2">
                  <c:v>Ahmed</c:v>
                </c:pt>
                <c:pt idx="3">
                  <c:v>Rahul</c:v>
                </c:pt>
                <c:pt idx="4">
                  <c:v>Meena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91</c:v>
                </c:pt>
                <c:pt idx="1">
                  <c:v>90</c:v>
                </c:pt>
                <c:pt idx="2">
                  <c:v>79</c:v>
                </c:pt>
                <c:pt idx="3">
                  <c:v>75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E3-44DF-920A-3C0CDD9E7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226032"/>
        <c:axId val="1332226992"/>
      </c:barChart>
      <c:catAx>
        <c:axId val="133222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26992"/>
        <c:crosses val="autoZero"/>
        <c:auto val="1"/>
        <c:lblAlgn val="ctr"/>
        <c:lblOffset val="100"/>
        <c:noMultiLvlLbl val="0"/>
      </c:catAx>
      <c:valAx>
        <c:axId val="13322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2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99060</xdr:colOff>
      <xdr:row>2</xdr:row>
      <xdr:rowOff>38100</xdr:rowOff>
    </xdr:from>
    <xdr:to>
      <xdr:col>20</xdr:col>
      <xdr:colOff>327660</xdr:colOff>
      <xdr:row>18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81369E-4A8A-012E-F45A-CC275BD26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7</xdr:row>
      <xdr:rowOff>160020</xdr:rowOff>
    </xdr:from>
    <xdr:to>
      <xdr:col>12</xdr:col>
      <xdr:colOff>30480</xdr:colOff>
      <xdr:row>23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F0102B-5A38-C36D-D746-834D2252E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12D8-B5D0-4DAC-AB6D-314558A7F24F}">
  <dimension ref="A1:J11"/>
  <sheetViews>
    <sheetView tabSelected="1" workbookViewId="0">
      <selection activeCell="K4" sqref="K4"/>
    </sheetView>
  </sheetViews>
  <sheetFormatPr defaultRowHeight="14.4" x14ac:dyDescent="0.3"/>
  <cols>
    <col min="1" max="1" width="10.77734375" customWidth="1"/>
    <col min="2" max="2" width="9.77734375" customWidth="1"/>
    <col min="3" max="3" width="10.33203125" customWidth="1"/>
    <col min="4" max="4" width="13.109375" customWidth="1"/>
    <col min="5" max="5" width="11.33203125" customWidth="1"/>
    <col min="6" max="6" width="13.109375" customWidth="1"/>
  </cols>
  <sheetData>
    <row r="1" spans="1:10" ht="22.8" customHeight="1" x14ac:dyDescent="0.4">
      <c r="A1" s="16" t="s">
        <v>12</v>
      </c>
      <c r="B1" s="16"/>
      <c r="C1" s="16"/>
      <c r="D1" s="16"/>
      <c r="E1" s="16"/>
      <c r="F1" s="14"/>
      <c r="G1" s="12"/>
      <c r="H1" s="11"/>
    </row>
    <row r="2" spans="1:10" ht="17.399999999999999" x14ac:dyDescent="0.4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11</v>
      </c>
    </row>
    <row r="3" spans="1:10" x14ac:dyDescent="0.3">
      <c r="A3" s="2" t="s">
        <v>8</v>
      </c>
      <c r="B3" s="1">
        <v>92</v>
      </c>
      <c r="C3" s="1">
        <v>88</v>
      </c>
      <c r="D3" s="1">
        <v>91</v>
      </c>
      <c r="E3" s="1">
        <f>SUM(B3:D3)</f>
        <v>271</v>
      </c>
      <c r="F3" s="5">
        <v>90</v>
      </c>
      <c r="G3" s="7">
        <f>RANK(E3,$E$3:$E$7)</f>
        <v>1</v>
      </c>
    </row>
    <row r="4" spans="1:10" ht="21" x14ac:dyDescent="0.4">
      <c r="A4" s="2" t="s">
        <v>6</v>
      </c>
      <c r="B4" s="1">
        <v>78</v>
      </c>
      <c r="C4" s="1">
        <v>85</v>
      </c>
      <c r="D4" s="1">
        <v>90</v>
      </c>
      <c r="E4" s="1">
        <f>SUM(B4:D4)</f>
        <v>253</v>
      </c>
      <c r="F4" s="5">
        <f>AVERAGE(B4:D4)</f>
        <v>84.333333333333329</v>
      </c>
      <c r="G4" s="7">
        <f>RANK(E4,$E$3:$E$7)</f>
        <v>2</v>
      </c>
      <c r="J4" s="15"/>
    </row>
    <row r="5" spans="1:10" x14ac:dyDescent="0.3">
      <c r="A5" s="2" t="s">
        <v>10</v>
      </c>
      <c r="B5" s="1">
        <v>80</v>
      </c>
      <c r="C5" s="1">
        <v>82</v>
      </c>
      <c r="D5" s="1">
        <v>79</v>
      </c>
      <c r="E5" s="1">
        <f>SUM(B5:D5)</f>
        <v>241</v>
      </c>
      <c r="F5" s="5">
        <f>AVERAGE(B5:D5)</f>
        <v>80.333333333333329</v>
      </c>
      <c r="G5" s="7">
        <f>RANK(E5,$E$3:$E$7)</f>
        <v>3</v>
      </c>
    </row>
    <row r="6" spans="1:10" x14ac:dyDescent="0.3">
      <c r="A6" s="2" t="s">
        <v>7</v>
      </c>
      <c r="B6" s="1">
        <v>65</v>
      </c>
      <c r="C6" s="1">
        <v>70</v>
      </c>
      <c r="D6" s="1">
        <v>75</v>
      </c>
      <c r="E6" s="1">
        <f>SUM(B6:D6)</f>
        <v>210</v>
      </c>
      <c r="F6" s="5">
        <f>AVERAGE(B6:D6)</f>
        <v>70</v>
      </c>
      <c r="G6" s="8">
        <f>RANK(E6,$E$3:$E$7)</f>
        <v>4</v>
      </c>
    </row>
    <row r="7" spans="1:10" ht="15" thickBot="1" x14ac:dyDescent="0.35">
      <c r="A7" s="3" t="s">
        <v>9</v>
      </c>
      <c r="B7" s="4">
        <v>55</v>
      </c>
      <c r="C7" s="4">
        <v>60</v>
      </c>
      <c r="D7" s="4">
        <v>58</v>
      </c>
      <c r="E7" s="4">
        <f>SUM(B7:D7)</f>
        <v>173</v>
      </c>
      <c r="F7" s="6">
        <f>AVERAGE(B7:D7)</f>
        <v>57.666666666666664</v>
      </c>
      <c r="G7" s="9">
        <f>RANK(E7,$E$3:$E$7)</f>
        <v>5</v>
      </c>
    </row>
    <row r="10" spans="1:10" ht="15.6" x14ac:dyDescent="0.3">
      <c r="D10" s="13"/>
    </row>
    <row r="11" spans="1:10" ht="15.6" x14ac:dyDescent="0.3">
      <c r="D11" s="13"/>
    </row>
  </sheetData>
  <sortState xmlns:xlrd2="http://schemas.microsoft.com/office/spreadsheetml/2017/richdata2" ref="A3:G7">
    <sortCondition ref="G3:G7"/>
  </sortState>
  <mergeCells count="1">
    <mergeCell ref="A1:E1"/>
  </mergeCells>
  <conditionalFormatting sqref="A2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9">
      <colorScale>
        <cfvo type="min"/>
        <cfvo type="max"/>
        <color rgb="FFFCFCFF"/>
        <color rgb="FF63BE7B"/>
      </colorScale>
    </cfRule>
  </conditionalFormatting>
  <conditionalFormatting sqref="J2">
    <cfRule type="colorScale" priority="18">
      <colorScale>
        <cfvo type="min"/>
        <cfvo type="max"/>
        <color theme="7"/>
        <color rgb="FFFFEF9C"/>
      </colorScale>
    </cfRule>
  </conditionalFormatting>
  <conditionalFormatting sqref="A3:F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F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">
      <colorScale>
        <cfvo type="min"/>
        <cfvo type="max"/>
        <color rgb="FFFF7128"/>
        <color theme="9" tint="0.39997558519241921"/>
      </colorScale>
    </cfRule>
  </conditionalFormatting>
  <conditionalFormatting sqref="B3:F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top10" priority="12" rank="10"/>
    <cfRule type="colorScale" priority="14">
      <colorScale>
        <cfvo type="min"/>
        <cfvo type="max"/>
        <color rgb="FFFF7128"/>
        <color theme="9" tint="0.59999389629810485"/>
      </colorScale>
    </cfRule>
  </conditionalFormatting>
  <conditionalFormatting sqref="B5:F5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G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G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G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G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noushina shaik</dc:creator>
  <cp:lastModifiedBy>noushina shaik</cp:lastModifiedBy>
  <dcterms:created xsi:type="dcterms:W3CDTF">2026-02-28T13:45:23Z</dcterms:created>
  <dcterms:modified xsi:type="dcterms:W3CDTF">2026-02-28T16:49:19Z</dcterms:modified>
</cp:coreProperties>
</file>